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0ab158a6283f593/Desktop/BHAGYASRI PROFILE/"/>
    </mc:Choice>
  </mc:AlternateContent>
  <xr:revisionPtr revIDLastSave="16" documentId="14_{3DA332EC-D09D-4DB3-BA0F-9301D7655D7F}" xr6:coauthVersionLast="47" xr6:coauthVersionMax="47" xr10:uidLastSave="{E0E885BE-95E0-4D5E-899C-FD7AAA3836E8}"/>
  <bookViews>
    <workbookView xWindow="-108" yWindow="-108" windowWidth="23256" windowHeight="12456" xr2:uid="{EF015B2D-8248-409D-9AC6-F2FF9B3BA3C3}"/>
  </bookViews>
  <sheets>
    <sheet name="Invoice" sheetId="1" r:id="rId1"/>
    <sheet name="Sheet5" sheetId="5" r:id="rId2"/>
    <sheet name="Purchase" sheetId="2" r:id="rId3"/>
    <sheet name="Sale" sheetId="3" r:id="rId4"/>
    <sheet name="stock" sheetId="4" r:id="rId5"/>
  </sheets>
  <definedNames>
    <definedName name="_xlnm._FilterDatabase" localSheetId="2" hidden="1">Purchase!$B$6:$B$17</definedName>
    <definedName name="_xlnm.Criteria" localSheetId="4">stock!$H$6:$H$7</definedName>
    <definedName name="_xlnm.Extract" localSheetId="4">stock!$B$6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" l="1"/>
  <c r="H17" i="1" s="1"/>
  <c r="F18" i="1"/>
  <c r="H18" i="1" s="1"/>
  <c r="I18" i="1" s="1"/>
  <c r="F19" i="1"/>
  <c r="H19" i="1" s="1"/>
  <c r="I19" i="1" s="1"/>
  <c r="F20" i="1"/>
  <c r="H20" i="1" s="1"/>
  <c r="I20" i="1" s="1"/>
  <c r="F21" i="1"/>
  <c r="H21" i="1" s="1"/>
  <c r="I21" i="1" s="1"/>
  <c r="F22" i="1"/>
  <c r="H22" i="1" s="1"/>
  <c r="I22" i="1" s="1"/>
  <c r="F23" i="1"/>
  <c r="H23" i="1" s="1"/>
  <c r="I23" i="1" s="1"/>
  <c r="F24" i="1"/>
  <c r="H24" i="1" s="1"/>
  <c r="I24" i="1" s="1"/>
  <c r="F25" i="1"/>
  <c r="H25" i="1" s="1"/>
  <c r="I25" i="1" s="1"/>
  <c r="F16" i="1"/>
  <c r="H16" i="1" s="1"/>
  <c r="I16" i="1" s="1"/>
  <c r="E16" i="1"/>
  <c r="E17" i="1"/>
  <c r="E18" i="1"/>
  <c r="E19" i="1"/>
  <c r="E20" i="1"/>
  <c r="E21" i="1"/>
  <c r="E22" i="1"/>
  <c r="E23" i="1"/>
  <c r="E24" i="1"/>
  <c r="E25" i="1"/>
  <c r="H9" i="1"/>
  <c r="K17" i="1"/>
  <c r="K18" i="1"/>
  <c r="K19" i="1"/>
  <c r="K20" i="1"/>
  <c r="K21" i="1"/>
  <c r="K22" i="1"/>
  <c r="K23" i="1"/>
  <c r="K25" i="1"/>
  <c r="E7" i="4"/>
  <c r="F7" i="4" s="1"/>
  <c r="E8" i="4"/>
  <c r="F8" i="4" s="1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D7" i="4"/>
  <c r="D8" i="4"/>
  <c r="D9" i="4"/>
  <c r="D10" i="4"/>
  <c r="D11" i="4"/>
  <c r="D12" i="4"/>
  <c r="D13" i="4"/>
  <c r="D14" i="4"/>
  <c r="C7" i="4"/>
  <c r="C8" i="4"/>
  <c r="C9" i="4"/>
  <c r="C10" i="4"/>
  <c r="C11" i="4"/>
  <c r="C12" i="4"/>
  <c r="C13" i="4"/>
  <c r="C14" i="4"/>
  <c r="H10" i="1"/>
  <c r="I17" i="1" l="1"/>
  <c r="K24" i="1"/>
  <c r="K16" i="1"/>
  <c r="I27" i="1" l="1"/>
</calcChain>
</file>

<file path=xl/sharedStrings.xml><?xml version="1.0" encoding="utf-8"?>
<sst xmlns="http://schemas.openxmlformats.org/spreadsheetml/2006/main" count="117" uniqueCount="37">
  <si>
    <t>S. NO</t>
  </si>
  <si>
    <t>INVOICE NO</t>
  </si>
  <si>
    <t>HSN</t>
  </si>
  <si>
    <t>Item</t>
  </si>
  <si>
    <t>Rate</t>
  </si>
  <si>
    <t>Qty</t>
  </si>
  <si>
    <t>GST 5%</t>
  </si>
  <si>
    <t>Amount</t>
  </si>
  <si>
    <t>Customer Name</t>
  </si>
  <si>
    <t>Address</t>
  </si>
  <si>
    <t>Mobile</t>
  </si>
  <si>
    <t>GSTIN</t>
  </si>
  <si>
    <t>Invoice No</t>
  </si>
  <si>
    <t>Date</t>
  </si>
  <si>
    <t>Computer Zone</t>
  </si>
  <si>
    <t>Bhubaneswar, Odisha, 752100</t>
  </si>
  <si>
    <t>Customer Details</t>
  </si>
  <si>
    <t>Sub Total</t>
  </si>
  <si>
    <t>Accountant Sign</t>
  </si>
  <si>
    <t>Customer Sign</t>
  </si>
  <si>
    <t>Thank You!!</t>
  </si>
  <si>
    <t>Purchase Entry</t>
  </si>
  <si>
    <t>HSN Code</t>
  </si>
  <si>
    <t>P rate</t>
  </si>
  <si>
    <t>P Quantity</t>
  </si>
  <si>
    <t>Sale rate</t>
  </si>
  <si>
    <t>Sale Entry</t>
  </si>
  <si>
    <t>S.no</t>
  </si>
  <si>
    <t>Stock</t>
  </si>
  <si>
    <t>PurchaseQty</t>
  </si>
  <si>
    <t>Sale Qty</t>
  </si>
  <si>
    <t>In Stock</t>
  </si>
  <si>
    <t>Mouse</t>
  </si>
  <si>
    <t>Key Board</t>
  </si>
  <si>
    <t>Monitor</t>
  </si>
  <si>
    <t>Laptop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</si>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</sst>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m/yyyy"/>
  </numFmts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lgerian"/>
      <family val="5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2" fillId="0" borderId="0" xfId="0" applyFont="1" applyAlignment="1">
      <alignment horizontal="right" indent="1"/>
    </xf>
    <xf numFmtId="0" fontId="2" fillId="0" borderId="0" xfId="0" applyFont="1" applyFill="1" applyBorder="1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/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5" borderId="4" xfId="0" applyFont="1" applyFill="1" applyBorder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5" fontId="0" fillId="0" borderId="3" xfId="0" applyNumberFormat="1" applyBorder="1" applyAlignment="1">
      <alignment horizontal="left"/>
    </xf>
    <xf numFmtId="14" fontId="0" fillId="0" borderId="0" xfId="0" applyNumberFormat="1" applyAlignment="1">
      <alignment horizontal="center"/>
    </xf>
    <xf numFmtId="0" fontId="8" fillId="0" borderId="0" xfId="0" applyFont="1"/>
    <xf numFmtId="0" fontId="6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586740</xdr:colOff>
      <xdr:row>2</xdr:row>
      <xdr:rowOff>76200</xdr:rowOff>
    </xdr:from>
    <xdr:to>
      <xdr:col>13</xdr:col>
      <xdr:colOff>175260</xdr:colOff>
      <xdr:row>5</xdr:row>
      <xdr:rowOff>53340</xdr:rowOff>
    </xdr:to>
    <xdr:sp macro="[0]!Sale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D487E5-B8B8-0065-F388-66B3D86DCBF8}"/>
            </a:ext>
          </a:extLst>
        </xdr:cNvPr>
        <xdr:cNvSpPr/>
      </xdr:nvSpPr>
      <xdr:spPr>
        <a:xfrm>
          <a:off x="6370320" y="441960"/>
          <a:ext cx="2026920" cy="54102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Save Invoice Data</a:t>
          </a:r>
        </a:p>
      </xdr:txBody>
    </xdr:sp>
    <xdr:clientData/>
  </xdr:twoCellAnchor>
  <xdr:twoCellAnchor>
    <xdr:from>
      <xdr:col>10</xdr:col>
      <xdr:colOff>7620</xdr:colOff>
      <xdr:row>6</xdr:row>
      <xdr:rowOff>22860</xdr:rowOff>
    </xdr:from>
    <xdr:to>
      <xdr:col>13</xdr:col>
      <xdr:colOff>182880</xdr:colOff>
      <xdr:row>8</xdr:row>
      <xdr:rowOff>137160</xdr:rowOff>
    </xdr:to>
    <xdr:sp macro="[0]!save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093424-9AA3-9EAC-28CF-5C02DAB78F8E}"/>
            </a:ext>
          </a:extLst>
        </xdr:cNvPr>
        <xdr:cNvSpPr/>
      </xdr:nvSpPr>
      <xdr:spPr>
        <a:xfrm>
          <a:off x="6400800" y="1135380"/>
          <a:ext cx="2004060" cy="4800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Save Invoice in</a:t>
          </a:r>
          <a:r>
            <a:rPr lang="en-IN" sz="1600" b="1" baseline="0"/>
            <a:t> Pdf</a:t>
          </a:r>
          <a:endParaRPr lang="en-IN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4</xdr:row>
      <xdr:rowOff>137160</xdr:rowOff>
    </xdr:from>
    <xdr:to>
      <xdr:col>8</xdr:col>
      <xdr:colOff>152400</xdr:colOff>
      <xdr:row>8</xdr:row>
      <xdr:rowOff>175260</xdr:rowOff>
    </xdr:to>
    <xdr:sp macro="[0]!Refresh" textlink="">
      <xdr:nvSpPr>
        <xdr:cNvPr id="2" name="Arrow: Curved Left 1">
          <a:extLst>
            <a:ext uri="{FF2B5EF4-FFF2-40B4-BE49-F238E27FC236}">
              <a16:creationId xmlns:a16="http://schemas.microsoft.com/office/drawing/2014/main" id="{9CFB6D7E-7A72-AA43-350B-58FEC2C81284}"/>
            </a:ext>
          </a:extLst>
        </xdr:cNvPr>
        <xdr:cNvSpPr/>
      </xdr:nvSpPr>
      <xdr:spPr>
        <a:xfrm>
          <a:off x="4815840" y="868680"/>
          <a:ext cx="800100" cy="769620"/>
        </a:xfrm>
        <a:prstGeom prst="curved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DE606-834C-49B7-8FA1-B80622E25976}" name="Table1" displayName="Table1" ref="B6:G17" totalsRowShown="0" headerRowDxfId="5">
  <tableColumns count="6">
    <tableColumn id="1" xr3:uid="{F8E902BB-7972-4490-998B-8265B5FC3E25}" name="HSN Code"/>
    <tableColumn id="2" xr3:uid="{9B7CC717-9312-453A-BC82-645E8C121B21}" name="Date"/>
    <tableColumn id="3" xr3:uid="{74381902-258C-4484-84FA-06965861EA95}" name="Item"/>
    <tableColumn id="4" xr3:uid="{DCDF98AA-B566-4693-B446-B8D37A83351A}" name="P rate"/>
    <tableColumn id="5" xr3:uid="{D51A0B4B-4ECF-4D6C-A966-B324A804B4B6}" name="P Quantity"/>
    <tableColumn id="6" xr3:uid="{8880511E-CAC9-4A92-AC00-C245B5A5E820}" name="Sale rate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DBB2A8-5EED-46F5-BC1B-94CB71EDFED3}" name="Table2" displayName="Table2" ref="B4:I31" totalsRowShown="0" headerRowDxfId="4">
  <autoFilter ref="B4:I31" xr:uid="{4CDBB2A8-5EED-46F5-BC1B-94CB71EDFE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0CEB1F8-B5B4-4C66-B7D6-BEF2B4A83BFA}" name="S.no"/>
    <tableColumn id="2" xr3:uid="{1553CED2-EB7B-4E0C-BFAA-3FA020E574E3}" name="Invoice No"/>
    <tableColumn id="3" xr3:uid="{3FD8F439-679E-4AE9-9487-8F4DAEC5C33F}" name="HSN"/>
    <tableColumn id="4" xr3:uid="{301FCEF9-196C-4528-82DA-4E38A48AA0EA}" name="Item"/>
    <tableColumn id="5" xr3:uid="{4E5F4161-672C-41AC-8388-3D3E73F20EB9}" name="Rate"/>
    <tableColumn id="6" xr3:uid="{A18054B7-F5E1-466E-896F-25BC770159D1}" name="Qty"/>
    <tableColumn id="7" xr3:uid="{429DD752-8FD5-493A-833C-48A257DD2DDD}" name="GST 5%"/>
    <tableColumn id="8" xr3:uid="{AD1DF662-7392-4F06-B472-B68A4FD89BD3}" name="Amount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F6100F-86EC-4A40-9027-D2B3D2FF9F4A}" name="Table3" displayName="Table3" ref="B6:F14" totalsRowShown="0">
  <tableColumns count="5">
    <tableColumn id="1" xr3:uid="{DA5E8547-0422-40BC-B93F-C3CDE5B90777}" name="HSN Code"/>
    <tableColumn id="2" xr3:uid="{FC8C5021-0396-406A-A73A-EF7328488A92}" name="Item" dataDxfId="3">
      <calculatedColumnFormula>IFERROR(VLOOKUP(Table3[[#This Row],[HSN Code]],Table1[#All],3,0),"")</calculatedColumnFormula>
    </tableColumn>
    <tableColumn id="3" xr3:uid="{650BC157-8B34-48C1-BDEB-87C588DF1ED7}" name="PurchaseQty" dataDxfId="2">
      <calculatedColumnFormula>SUMIF(Table1[Item],Table3[[#This Row],[Item]],Table1[P Quantity])</calculatedColumnFormula>
    </tableColumn>
    <tableColumn id="4" xr3:uid="{3E3A5BF7-2FB5-4B76-B782-C926A95B6179}" name="Sale Qty" dataDxfId="1">
      <calculatedColumnFormula>SUMIF(Table2[Item],Table3[[#This Row],[Item]],Table2[Qty])</calculatedColumnFormula>
    </tableColumn>
    <tableColumn id="5" xr3:uid="{2C3BC495-C91C-4CF7-8DE4-8A4336B59335}" name="In Stock" dataDxfId="0">
      <calculatedColumnFormula>Table3[[#This Row],[PurchaseQty]]-Table3[[#This Row],[Sale Qty]]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B796F-5ACF-455D-B52D-C4E83BCF5DC2}">
  <sheetPr codeName="Sheet1"/>
  <dimension ref="B2:N33"/>
  <sheetViews>
    <sheetView showGridLines="0" tabSelected="1" workbookViewId="0">
      <selection activeCell="D9" sqref="D9:E9"/>
    </sheetView>
  </sheetViews>
  <sheetFormatPr defaultRowHeight="14.4" x14ac:dyDescent="0.3"/>
  <cols>
    <col min="3" max="3" width="13.21875" customWidth="1"/>
  </cols>
  <sheetData>
    <row r="2" spans="2:14" x14ac:dyDescent="0.3">
      <c r="B2" s="7" t="s">
        <v>14</v>
      </c>
      <c r="C2" s="8"/>
      <c r="D2" s="8"/>
      <c r="E2" s="8"/>
      <c r="F2" s="8"/>
      <c r="G2" s="8"/>
      <c r="H2" s="8"/>
      <c r="I2" s="8"/>
    </row>
    <row r="3" spans="2:14" x14ac:dyDescent="0.3">
      <c r="B3" s="8"/>
      <c r="C3" s="8"/>
      <c r="D3" s="8"/>
      <c r="E3" s="8"/>
      <c r="F3" s="8"/>
      <c r="G3" s="8"/>
      <c r="H3" s="8"/>
      <c r="I3" s="8"/>
    </row>
    <row r="4" spans="2:14" x14ac:dyDescent="0.3">
      <c r="B4" s="6" t="s">
        <v>15</v>
      </c>
      <c r="C4" s="6"/>
      <c r="D4" s="6"/>
      <c r="E4" s="6"/>
      <c r="F4" s="6"/>
      <c r="G4" s="6"/>
      <c r="H4" s="6"/>
      <c r="I4" s="6"/>
    </row>
    <row r="5" spans="2:14" ht="15.6" x14ac:dyDescent="0.3">
      <c r="B5" s="9" t="s">
        <v>16</v>
      </c>
      <c r="C5" s="10"/>
      <c r="D5" s="10"/>
      <c r="E5" s="10"/>
      <c r="F5" s="10"/>
      <c r="G5" s="10"/>
      <c r="H5" s="10"/>
      <c r="I5" s="10"/>
    </row>
    <row r="9" spans="2:14" x14ac:dyDescent="0.3">
      <c r="B9" s="2" t="s">
        <v>8</v>
      </c>
      <c r="C9" s="2"/>
      <c r="D9" s="19"/>
      <c r="E9" s="19"/>
      <c r="G9" s="4" t="s">
        <v>12</v>
      </c>
      <c r="H9" s="19">
        <f>MAX(Sale!C5:C31)+1</f>
        <v>7</v>
      </c>
      <c r="I9" s="19"/>
    </row>
    <row r="10" spans="2:14" x14ac:dyDescent="0.3">
      <c r="B10" s="2" t="s">
        <v>9</v>
      </c>
      <c r="C10" s="2"/>
      <c r="D10" s="20"/>
      <c r="E10" s="20"/>
      <c r="G10" s="4" t="s">
        <v>13</v>
      </c>
      <c r="H10" s="21">
        <f ca="1">TODAY()</f>
        <v>45483</v>
      </c>
      <c r="I10" s="21"/>
    </row>
    <row r="11" spans="2:14" x14ac:dyDescent="0.3">
      <c r="B11" s="2" t="s">
        <v>10</v>
      </c>
      <c r="C11" s="2"/>
      <c r="D11" s="20"/>
      <c r="E11" s="20"/>
    </row>
    <row r="12" spans="2:14" x14ac:dyDescent="0.3">
      <c r="B12" s="3" t="s">
        <v>11</v>
      </c>
      <c r="C12" s="3"/>
      <c r="D12" s="20"/>
      <c r="E12" s="20"/>
    </row>
    <row r="15" spans="2:14" x14ac:dyDescent="0.3">
      <c r="B15" s="16" t="s">
        <v>0</v>
      </c>
      <c r="C15" s="16" t="s">
        <v>1</v>
      </c>
      <c r="D15" s="16" t="s">
        <v>2</v>
      </c>
      <c r="E15" s="16" t="s">
        <v>3</v>
      </c>
      <c r="F15" s="16" t="s">
        <v>4</v>
      </c>
      <c r="G15" s="16" t="s">
        <v>5</v>
      </c>
      <c r="H15" s="16" t="s">
        <v>6</v>
      </c>
      <c r="I15" s="16" t="s">
        <v>7</v>
      </c>
    </row>
    <row r="16" spans="2:14" x14ac:dyDescent="0.3">
      <c r="B16" s="1"/>
      <c r="C16" s="1"/>
      <c r="D16" s="1"/>
      <c r="E16" s="1" t="str">
        <f>IFERROR(VLOOKUP(D16,Table1[#All],3,0),"")</f>
        <v/>
      </c>
      <c r="F16" s="1" t="str">
        <f>IFERROR(VLOOKUP(D16,Table1[#All],6,0),"")</f>
        <v/>
      </c>
      <c r="G16" s="1"/>
      <c r="H16" s="1" t="str">
        <f>IFERROR((F16*G16*5%),"")</f>
        <v/>
      </c>
      <c r="I16" s="1" t="str">
        <f>IFERROR((F16*G16+H16),"")</f>
        <v/>
      </c>
      <c r="K16" s="23" t="str">
        <f>IFERROR(IF(VLOOKUP(D16,Table1[#All],5,0)&lt;G16,"Stock Not Avialable! Only "&amp;(VLOOKUP(D16,Table1[#All],5,0))&amp;"Qty avialable",""),"")</f>
        <v/>
      </c>
      <c r="L16" s="23"/>
      <c r="M16" s="23"/>
      <c r="N16" s="23"/>
    </row>
    <row r="17" spans="2:14" x14ac:dyDescent="0.3">
      <c r="B17" s="1"/>
      <c r="C17" s="1"/>
      <c r="D17" s="1"/>
      <c r="E17" s="1" t="str">
        <f>IFERROR(VLOOKUP(D17,Table1[#All],3,0),"")</f>
        <v/>
      </c>
      <c r="F17" s="1" t="str">
        <f>IFERROR(VLOOKUP(D17,Table1[#All],6,0),"")</f>
        <v/>
      </c>
      <c r="G17" s="1"/>
      <c r="H17" s="1" t="str">
        <f t="shared" ref="H17:H25" si="0">IFERROR((F17*G17*5%),"")</f>
        <v/>
      </c>
      <c r="I17" s="1" t="str">
        <f t="shared" ref="I17:I25" si="1">IFERROR((F17*G17+H17),"")</f>
        <v/>
      </c>
      <c r="K17" s="23" t="str">
        <f>IFERROR(IF(VLOOKUP(D17,Table1[#All],5,0)&lt;G17,"Stock Not Avialable! Only "&amp;(VLOOKUP(D17,Table1[#All],5,0))&amp;"Qty avialable",""),"")</f>
        <v/>
      </c>
      <c r="L17" s="23"/>
      <c r="M17" s="23"/>
      <c r="N17" s="23"/>
    </row>
    <row r="18" spans="2:14" x14ac:dyDescent="0.3">
      <c r="B18" s="1"/>
      <c r="C18" s="1"/>
      <c r="D18" s="1"/>
      <c r="E18" s="1" t="str">
        <f>IFERROR(VLOOKUP(D18,Table1[#All],3,0),"")</f>
        <v/>
      </c>
      <c r="F18" s="1" t="str">
        <f>IFERROR(VLOOKUP(D18,Table1[#All],6,0),"")</f>
        <v/>
      </c>
      <c r="G18" s="1"/>
      <c r="H18" s="1" t="str">
        <f t="shared" si="0"/>
        <v/>
      </c>
      <c r="I18" s="1" t="str">
        <f t="shared" si="1"/>
        <v/>
      </c>
      <c r="K18" s="23" t="str">
        <f>IFERROR(IF(VLOOKUP(D18,Table1[#All],5,0)&lt;G18,"Stock Not Avialable! Only "&amp;(VLOOKUP(D18,Table1[#All],5,0))&amp;"Qty avialable",""),"")</f>
        <v/>
      </c>
      <c r="L18" s="23"/>
      <c r="M18" s="23"/>
      <c r="N18" s="23"/>
    </row>
    <row r="19" spans="2:14" x14ac:dyDescent="0.3">
      <c r="B19" s="1"/>
      <c r="C19" s="1"/>
      <c r="D19" s="1"/>
      <c r="E19" s="1" t="str">
        <f>IFERROR(VLOOKUP(D19,Table1[#All],3,0),"")</f>
        <v/>
      </c>
      <c r="F19" s="1" t="str">
        <f>IFERROR(VLOOKUP(D19,Table1[#All],6,0),"")</f>
        <v/>
      </c>
      <c r="G19" s="1"/>
      <c r="H19" s="1" t="str">
        <f t="shared" si="0"/>
        <v/>
      </c>
      <c r="I19" s="1" t="str">
        <f t="shared" si="1"/>
        <v/>
      </c>
      <c r="K19" s="23" t="str">
        <f>IFERROR(IF(VLOOKUP(D19,Table1[#All],5,0)&lt;G19,"Stock Not Avialable! Only "&amp;(VLOOKUP(D19,Table1[#All],5,0))&amp;"Qty avialable",""),"")</f>
        <v/>
      </c>
      <c r="L19" s="23"/>
      <c r="M19" s="23"/>
      <c r="N19" s="23"/>
    </row>
    <row r="20" spans="2:14" x14ac:dyDescent="0.3">
      <c r="B20" s="1"/>
      <c r="C20" s="1"/>
      <c r="D20" s="1"/>
      <c r="E20" s="1" t="str">
        <f>IFERROR(VLOOKUP(D20,Table1[#All],3,0),"")</f>
        <v/>
      </c>
      <c r="F20" s="1" t="str">
        <f>IFERROR(VLOOKUP(D20,Table1[#All],6,0),"")</f>
        <v/>
      </c>
      <c r="G20" s="1"/>
      <c r="H20" s="1" t="str">
        <f t="shared" si="0"/>
        <v/>
      </c>
      <c r="I20" s="1" t="str">
        <f t="shared" si="1"/>
        <v/>
      </c>
      <c r="K20" s="23" t="str">
        <f>IFERROR(IF(VLOOKUP(D20,Table1[#All],5,0)&lt;G20,"Stock Not Avialable! Only "&amp;(VLOOKUP(D20,Table1[#All],5,0))&amp;"Qty avialable",""),"")</f>
        <v/>
      </c>
      <c r="L20" s="23"/>
      <c r="M20" s="23"/>
      <c r="N20" s="23"/>
    </row>
    <row r="21" spans="2:14" x14ac:dyDescent="0.3">
      <c r="B21" s="1"/>
      <c r="C21" s="1"/>
      <c r="D21" s="1"/>
      <c r="E21" s="1" t="str">
        <f>IFERROR(VLOOKUP(D21,Table1[#All],3,0),"")</f>
        <v/>
      </c>
      <c r="F21" s="1" t="str">
        <f>IFERROR(VLOOKUP(D21,Table1[#All],6,0),"")</f>
        <v/>
      </c>
      <c r="G21" s="1"/>
      <c r="H21" s="1" t="str">
        <f t="shared" si="0"/>
        <v/>
      </c>
      <c r="I21" s="1" t="str">
        <f t="shared" si="1"/>
        <v/>
      </c>
      <c r="K21" s="23" t="str">
        <f>IFERROR(IF(VLOOKUP(D21,Table1[#All],5,0)&lt;G21,"Stock Not Avialable! Only "&amp;(VLOOKUP(D21,Table1[#All],5,0))&amp;"Qty avialable",""),"")</f>
        <v/>
      </c>
      <c r="L21" s="23"/>
      <c r="M21" s="23"/>
      <c r="N21" s="23"/>
    </row>
    <row r="22" spans="2:14" x14ac:dyDescent="0.3">
      <c r="B22" s="1"/>
      <c r="C22" s="1"/>
      <c r="D22" s="1"/>
      <c r="E22" s="1" t="str">
        <f>IFERROR(VLOOKUP(D22,Table1[#All],3,0),"")</f>
        <v/>
      </c>
      <c r="F22" s="1" t="str">
        <f>IFERROR(VLOOKUP(D22,Table1[#All],6,0),"")</f>
        <v/>
      </c>
      <c r="G22" s="1"/>
      <c r="H22" s="1" t="str">
        <f t="shared" si="0"/>
        <v/>
      </c>
      <c r="I22" s="1" t="str">
        <f t="shared" si="1"/>
        <v/>
      </c>
      <c r="K22" s="23" t="str">
        <f>IFERROR(IF(VLOOKUP(D22,Table1[#All],5,0)&lt;G22,"Stock Not Avialable! Only "&amp;(VLOOKUP(D22,Table1[#All],5,0))&amp;"Qty avialable",""),"")</f>
        <v/>
      </c>
      <c r="L22" s="23"/>
      <c r="M22" s="23"/>
      <c r="N22" s="23"/>
    </row>
    <row r="23" spans="2:14" x14ac:dyDescent="0.3">
      <c r="B23" s="1"/>
      <c r="C23" s="1"/>
      <c r="D23" s="1"/>
      <c r="E23" s="1" t="str">
        <f>IFERROR(VLOOKUP(D23,Table1[#All],3,0),"")</f>
        <v/>
      </c>
      <c r="F23" s="1" t="str">
        <f>IFERROR(VLOOKUP(D23,Table1[#All],6,0),"")</f>
        <v/>
      </c>
      <c r="G23" s="1"/>
      <c r="H23" s="1" t="str">
        <f t="shared" si="0"/>
        <v/>
      </c>
      <c r="I23" s="1" t="str">
        <f t="shared" si="1"/>
        <v/>
      </c>
      <c r="K23" s="23" t="str">
        <f>IFERROR(IF(VLOOKUP(D23,Table1[#All],5,0)&lt;G23,"Stock Not Avialable! Only "&amp;(VLOOKUP(D23,Table1[#All],5,0))&amp;"Qty avialable",""),"")</f>
        <v/>
      </c>
      <c r="L23" s="23"/>
      <c r="M23" s="23"/>
      <c r="N23" s="23"/>
    </row>
    <row r="24" spans="2:14" x14ac:dyDescent="0.3">
      <c r="B24" s="1"/>
      <c r="C24" s="1"/>
      <c r="D24" s="1"/>
      <c r="E24" s="1" t="str">
        <f>IFERROR(VLOOKUP(D24,Table1[#All],3,0),"")</f>
        <v/>
      </c>
      <c r="F24" s="1" t="str">
        <f>IFERROR(VLOOKUP(D24,Table1[#All],6,0),"")</f>
        <v/>
      </c>
      <c r="G24" s="1"/>
      <c r="H24" s="1" t="str">
        <f t="shared" si="0"/>
        <v/>
      </c>
      <c r="I24" s="1" t="str">
        <f t="shared" si="1"/>
        <v/>
      </c>
      <c r="K24" s="23" t="str">
        <f>IFERROR(IF(VLOOKUP(D24,Table1[#All],5,0)&lt;G24,"Stock Not Avialable! Only "&amp;(VLOOKUP(D24,Table1[#All],5,0))&amp;"Qty avialable",""),"")</f>
        <v/>
      </c>
      <c r="L24" s="23"/>
      <c r="M24" s="23"/>
      <c r="N24" s="23"/>
    </row>
    <row r="25" spans="2:14" x14ac:dyDescent="0.3">
      <c r="B25" s="1"/>
      <c r="C25" s="1"/>
      <c r="D25" s="1"/>
      <c r="E25" s="1" t="str">
        <f>IFERROR(VLOOKUP(D25,Table1[#All],3,0),"")</f>
        <v/>
      </c>
      <c r="F25" s="1" t="str">
        <f>IFERROR(VLOOKUP(D25,Table1[#All],6,0),"")</f>
        <v/>
      </c>
      <c r="G25" s="1"/>
      <c r="H25" s="1" t="str">
        <f t="shared" si="0"/>
        <v/>
      </c>
      <c r="I25" s="1" t="str">
        <f t="shared" si="1"/>
        <v/>
      </c>
      <c r="K25" t="str">
        <f>IFERROR(VLOOKUP(D25,Table1[#All],5,0),"")</f>
        <v/>
      </c>
    </row>
    <row r="27" spans="2:14" x14ac:dyDescent="0.3">
      <c r="G27" s="11" t="s">
        <v>17</v>
      </c>
      <c r="H27" s="6"/>
      <c r="I27" s="12">
        <f>SUM(I16:I25)</f>
        <v>0</v>
      </c>
    </row>
    <row r="30" spans="2:14" x14ac:dyDescent="0.3">
      <c r="B30" s="13"/>
      <c r="C30" s="13"/>
      <c r="D30" s="13"/>
      <c r="G30" s="13"/>
      <c r="H30" s="13"/>
      <c r="I30" s="13"/>
    </row>
    <row r="31" spans="2:14" x14ac:dyDescent="0.3">
      <c r="B31" s="11" t="s">
        <v>19</v>
      </c>
      <c r="C31" s="11"/>
      <c r="G31" s="11" t="s">
        <v>18</v>
      </c>
      <c r="H31" s="11"/>
      <c r="I31" s="11"/>
    </row>
    <row r="33" spans="2:9" x14ac:dyDescent="0.3">
      <c r="B33" s="14" t="s">
        <v>20</v>
      </c>
      <c r="C33" s="15"/>
      <c r="D33" s="15"/>
      <c r="E33" s="15"/>
      <c r="F33" s="15"/>
      <c r="G33" s="15"/>
      <c r="H33" s="15"/>
      <c r="I33" s="15"/>
    </row>
  </sheetData>
  <mergeCells count="19">
    <mergeCell ref="G30:I30"/>
    <mergeCell ref="G31:I31"/>
    <mergeCell ref="B31:C31"/>
    <mergeCell ref="B30:D30"/>
    <mergeCell ref="B33:I33"/>
    <mergeCell ref="H9:I9"/>
    <mergeCell ref="H10:I10"/>
    <mergeCell ref="B2:I3"/>
    <mergeCell ref="B4:I4"/>
    <mergeCell ref="B5:I5"/>
    <mergeCell ref="G27:H27"/>
    <mergeCell ref="B9:C9"/>
    <mergeCell ref="B10:C10"/>
    <mergeCell ref="B11:C11"/>
    <mergeCell ref="B12:C12"/>
    <mergeCell ref="D9:E9"/>
    <mergeCell ref="D10:E10"/>
    <mergeCell ref="D11:E11"/>
    <mergeCell ref="D12:E1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D36BC-E260-4503-BDC8-B90419E4F687}">
  <sheetPr codeName="Sheet2"/>
  <dimension ref="A2:H6"/>
  <sheetViews>
    <sheetView workbookViewId="0">
      <selection activeCell="A5" sqref="A5:H6"/>
    </sheetView>
  </sheetViews>
  <sheetFormatPr defaultRowHeight="14.4" x14ac:dyDescent="0.3"/>
  <sheetData>
    <row r="2" spans="1:8" x14ac:dyDescent="0.3">
      <c r="D2" t="s">
        <v>36</v>
      </c>
      <c r="F2" t="s">
        <v>36</v>
      </c>
      <c r="G2" t="s">
        <v>36</v>
      </c>
      <c r="H2" t="s">
        <v>36</v>
      </c>
    </row>
    <row r="3" spans="1:8" x14ac:dyDescent="0.3">
      <c r="D3" t="s">
        <v>36</v>
      </c>
      <c r="E3" t="s">
        <v>36</v>
      </c>
      <c r="G3" t="s">
        <v>36</v>
      </c>
      <c r="H3" t="s">
        <v>36</v>
      </c>
    </row>
    <row r="4" spans="1:8" x14ac:dyDescent="0.3">
      <c r="D4" t="s">
        <v>36</v>
      </c>
      <c r="E4" t="s">
        <v>36</v>
      </c>
      <c r="G4" t="s">
        <v>36</v>
      </c>
      <c r="H4" t="s">
        <v>36</v>
      </c>
    </row>
    <row r="5" spans="1:8" x14ac:dyDescent="0.3">
      <c r="A5">
        <v>1</v>
      </c>
      <c r="B5">
        <v>6</v>
      </c>
      <c r="C5">
        <v>8473</v>
      </c>
      <c r="D5" t="s">
        <v>34</v>
      </c>
      <c r="E5">
        <v>2200</v>
      </c>
      <c r="F5">
        <v>2</v>
      </c>
      <c r="G5">
        <v>220</v>
      </c>
      <c r="H5">
        <v>4620</v>
      </c>
    </row>
    <row r="6" spans="1:8" x14ac:dyDescent="0.3">
      <c r="D6" t="s">
        <v>36</v>
      </c>
      <c r="E6" t="s">
        <v>36</v>
      </c>
      <c r="G6" t="s">
        <v>36</v>
      </c>
      <c r="H6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33BE-90C0-414E-9B58-2EE07DCFF1DE}">
  <sheetPr codeName="Sheet3"/>
  <dimension ref="B4:G10"/>
  <sheetViews>
    <sheetView workbookViewId="0">
      <selection activeCell="E10" sqref="E10"/>
    </sheetView>
  </sheetViews>
  <sheetFormatPr defaultRowHeight="14.4" x14ac:dyDescent="0.3"/>
  <cols>
    <col min="2" max="2" width="11.33203125" customWidth="1"/>
    <col min="3" max="3" width="10.33203125" bestFit="1" customWidth="1"/>
    <col min="6" max="6" width="11.44140625" customWidth="1"/>
    <col min="7" max="7" width="10.21875" customWidth="1"/>
  </cols>
  <sheetData>
    <row r="4" spans="2:7" ht="18" x14ac:dyDescent="0.35">
      <c r="B4" s="24" t="s">
        <v>21</v>
      </c>
      <c r="C4" s="25"/>
      <c r="D4" s="25"/>
      <c r="E4" s="25"/>
      <c r="F4" s="25"/>
      <c r="G4" s="25"/>
    </row>
    <row r="6" spans="2:7" x14ac:dyDescent="0.3">
      <c r="B6" s="17" t="s">
        <v>22</v>
      </c>
      <c r="C6" s="17" t="s">
        <v>13</v>
      </c>
      <c r="D6" s="17" t="s">
        <v>3</v>
      </c>
      <c r="E6" s="17" t="s">
        <v>23</v>
      </c>
      <c r="F6" s="17" t="s">
        <v>24</v>
      </c>
      <c r="G6" s="17" t="s">
        <v>25</v>
      </c>
    </row>
    <row r="7" spans="2:7" x14ac:dyDescent="0.3">
      <c r="B7" s="5">
        <v>8471</v>
      </c>
      <c r="C7" s="22">
        <v>44987</v>
      </c>
      <c r="D7" s="5" t="s">
        <v>32</v>
      </c>
      <c r="E7" s="5">
        <v>120</v>
      </c>
      <c r="F7" s="5">
        <v>30</v>
      </c>
      <c r="G7" s="5">
        <v>170</v>
      </c>
    </row>
    <row r="8" spans="2:7" x14ac:dyDescent="0.3">
      <c r="B8" s="5">
        <v>8472</v>
      </c>
      <c r="C8" s="22">
        <v>44959</v>
      </c>
      <c r="D8" s="5" t="s">
        <v>33</v>
      </c>
      <c r="E8" s="5">
        <v>120</v>
      </c>
      <c r="F8" s="5">
        <v>30</v>
      </c>
      <c r="G8" s="5">
        <v>170</v>
      </c>
    </row>
    <row r="9" spans="2:7" x14ac:dyDescent="0.3">
      <c r="B9" s="5">
        <v>8473</v>
      </c>
      <c r="C9" s="22">
        <v>44959</v>
      </c>
      <c r="D9" s="5" t="s">
        <v>34</v>
      </c>
      <c r="E9" s="5">
        <v>2000</v>
      </c>
      <c r="F9" s="5">
        <v>30</v>
      </c>
      <c r="G9" s="5">
        <v>2200</v>
      </c>
    </row>
    <row r="10" spans="2:7" x14ac:dyDescent="0.3">
      <c r="B10" s="5">
        <v>8474</v>
      </c>
      <c r="C10" s="22">
        <v>44959</v>
      </c>
      <c r="D10" s="5" t="s">
        <v>35</v>
      </c>
      <c r="E10" s="5">
        <v>45000</v>
      </c>
      <c r="F10" s="5">
        <v>30</v>
      </c>
      <c r="G10" s="5">
        <v>50000</v>
      </c>
    </row>
  </sheetData>
  <mergeCells count="1">
    <mergeCell ref="B4:G4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431F-212E-4D6F-AFB2-30C4D1D53D96}">
  <sheetPr codeName="Sheet4"/>
  <dimension ref="B2:I23"/>
  <sheetViews>
    <sheetView workbookViewId="0">
      <selection activeCell="J12" sqref="J12"/>
    </sheetView>
  </sheetViews>
  <sheetFormatPr defaultRowHeight="14.4" x14ac:dyDescent="0.3"/>
  <cols>
    <col min="3" max="3" width="11.5546875" customWidth="1"/>
    <col min="8" max="8" width="9.109375" customWidth="1"/>
    <col min="9" max="9" width="9.33203125" customWidth="1"/>
  </cols>
  <sheetData>
    <row r="2" spans="2:9" ht="18" x14ac:dyDescent="0.35">
      <c r="B2" s="24" t="s">
        <v>26</v>
      </c>
      <c r="C2" s="25"/>
      <c r="D2" s="25"/>
      <c r="E2" s="25"/>
      <c r="F2" s="25"/>
      <c r="G2" s="25"/>
      <c r="H2" s="25"/>
      <c r="I2" s="25"/>
    </row>
    <row r="4" spans="2:9" x14ac:dyDescent="0.3">
      <c r="B4" s="17" t="s">
        <v>27</v>
      </c>
      <c r="C4" s="17" t="s">
        <v>12</v>
      </c>
      <c r="D4" s="17" t="s">
        <v>2</v>
      </c>
      <c r="E4" s="17" t="s">
        <v>3</v>
      </c>
      <c r="F4" s="17" t="s">
        <v>4</v>
      </c>
      <c r="G4" s="17" t="s">
        <v>5</v>
      </c>
      <c r="H4" s="17" t="s">
        <v>6</v>
      </c>
      <c r="I4" s="17" t="s">
        <v>7</v>
      </c>
    </row>
    <row r="5" spans="2:9" x14ac:dyDescent="0.3">
      <c r="E5" t="s">
        <v>36</v>
      </c>
      <c r="F5" t="s">
        <v>36</v>
      </c>
      <c r="H5" t="s">
        <v>36</v>
      </c>
      <c r="I5" t="s">
        <v>36</v>
      </c>
    </row>
    <row r="6" spans="2:9" x14ac:dyDescent="0.3">
      <c r="E6" t="s">
        <v>36</v>
      </c>
      <c r="F6" t="s">
        <v>36</v>
      </c>
      <c r="H6" t="s">
        <v>36</v>
      </c>
      <c r="I6" t="s">
        <v>36</v>
      </c>
    </row>
    <row r="7" spans="2:9" x14ac:dyDescent="0.3">
      <c r="B7">
        <v>1</v>
      </c>
      <c r="C7">
        <v>2</v>
      </c>
      <c r="D7">
        <v>8473</v>
      </c>
      <c r="E7" t="s">
        <v>34</v>
      </c>
      <c r="F7">
        <v>2200</v>
      </c>
      <c r="G7">
        <v>30</v>
      </c>
      <c r="H7">
        <v>3300</v>
      </c>
      <c r="I7">
        <v>69300</v>
      </c>
    </row>
    <row r="8" spans="2:9" x14ac:dyDescent="0.3">
      <c r="E8" t="s">
        <v>36</v>
      </c>
      <c r="G8" t="s">
        <v>36</v>
      </c>
      <c r="H8" t="s">
        <v>36</v>
      </c>
      <c r="I8" t="s">
        <v>36</v>
      </c>
    </row>
    <row r="9" spans="2:9" x14ac:dyDescent="0.3">
      <c r="B9">
        <v>1</v>
      </c>
      <c r="C9">
        <v>1</v>
      </c>
      <c r="D9">
        <v>8471</v>
      </c>
      <c r="E9" t="s">
        <v>32</v>
      </c>
      <c r="F9">
        <v>170</v>
      </c>
      <c r="G9">
        <v>50</v>
      </c>
      <c r="H9">
        <v>425</v>
      </c>
      <c r="I9">
        <v>8925</v>
      </c>
    </row>
    <row r="10" spans="2:9" x14ac:dyDescent="0.3">
      <c r="B10">
        <v>2</v>
      </c>
      <c r="C10">
        <v>1</v>
      </c>
      <c r="D10">
        <v>8472</v>
      </c>
      <c r="E10" t="s">
        <v>33</v>
      </c>
      <c r="F10">
        <v>170</v>
      </c>
      <c r="G10">
        <v>5</v>
      </c>
      <c r="H10">
        <v>42.5</v>
      </c>
      <c r="I10">
        <v>892.5</v>
      </c>
    </row>
    <row r="11" spans="2:9" x14ac:dyDescent="0.3">
      <c r="B11">
        <v>1</v>
      </c>
      <c r="C11">
        <v>3</v>
      </c>
      <c r="D11">
        <v>8471</v>
      </c>
      <c r="E11" t="s">
        <v>32</v>
      </c>
      <c r="F11">
        <v>170</v>
      </c>
      <c r="G11">
        <v>1</v>
      </c>
      <c r="H11">
        <v>8.5</v>
      </c>
      <c r="I11">
        <v>178.5</v>
      </c>
    </row>
    <row r="12" spans="2:9" x14ac:dyDescent="0.3">
      <c r="B12">
        <v>1</v>
      </c>
      <c r="C12">
        <v>6</v>
      </c>
      <c r="D12">
        <v>8473</v>
      </c>
      <c r="E12" t="s">
        <v>34</v>
      </c>
      <c r="F12">
        <v>2200</v>
      </c>
      <c r="G12">
        <v>2</v>
      </c>
      <c r="H12">
        <v>220</v>
      </c>
      <c r="I12">
        <v>4620</v>
      </c>
    </row>
    <row r="13" spans="2:9" x14ac:dyDescent="0.3">
      <c r="E13" t="s">
        <v>36</v>
      </c>
      <c r="F13" t="s">
        <v>36</v>
      </c>
      <c r="H13" t="s">
        <v>36</v>
      </c>
      <c r="I13" t="s">
        <v>36</v>
      </c>
    </row>
    <row r="14" spans="2:9" x14ac:dyDescent="0.3">
      <c r="B14">
        <v>1</v>
      </c>
      <c r="C14">
        <v>5</v>
      </c>
      <c r="D14">
        <v>8472</v>
      </c>
      <c r="E14" t="s">
        <v>33</v>
      </c>
      <c r="F14">
        <v>170</v>
      </c>
      <c r="G14">
        <v>12</v>
      </c>
      <c r="H14">
        <v>102</v>
      </c>
      <c r="I14">
        <v>2142</v>
      </c>
    </row>
    <row r="15" spans="2:9" x14ac:dyDescent="0.3">
      <c r="E15" t="s">
        <v>36</v>
      </c>
      <c r="F15" t="s">
        <v>36</v>
      </c>
      <c r="H15" t="s">
        <v>36</v>
      </c>
      <c r="I15" t="s">
        <v>36</v>
      </c>
    </row>
    <row r="16" spans="2:9" x14ac:dyDescent="0.3">
      <c r="E16" t="s">
        <v>36</v>
      </c>
      <c r="F16" t="s">
        <v>36</v>
      </c>
      <c r="H16" t="s">
        <v>36</v>
      </c>
      <c r="I16" t="s">
        <v>36</v>
      </c>
    </row>
    <row r="17" spans="2:9" x14ac:dyDescent="0.3">
      <c r="E17" t="s">
        <v>36</v>
      </c>
      <c r="F17" t="s">
        <v>36</v>
      </c>
      <c r="H17" t="s">
        <v>36</v>
      </c>
      <c r="I17" t="s">
        <v>36</v>
      </c>
    </row>
    <row r="18" spans="2:9" x14ac:dyDescent="0.3">
      <c r="E18" t="s">
        <v>36</v>
      </c>
      <c r="F18" t="s">
        <v>36</v>
      </c>
      <c r="H18" t="s">
        <v>36</v>
      </c>
      <c r="I18" t="s">
        <v>36</v>
      </c>
    </row>
    <row r="19" spans="2:9" x14ac:dyDescent="0.3">
      <c r="E19" t="s">
        <v>36</v>
      </c>
      <c r="F19" t="s">
        <v>36</v>
      </c>
      <c r="H19" t="s">
        <v>36</v>
      </c>
      <c r="I19" t="s">
        <v>36</v>
      </c>
    </row>
    <row r="20" spans="2:9" x14ac:dyDescent="0.3">
      <c r="E20" t="s">
        <v>36</v>
      </c>
      <c r="F20" t="s">
        <v>36</v>
      </c>
      <c r="H20" t="s">
        <v>36</v>
      </c>
      <c r="I20" t="s">
        <v>36</v>
      </c>
    </row>
    <row r="21" spans="2:9" x14ac:dyDescent="0.3">
      <c r="E21" t="s">
        <v>36</v>
      </c>
      <c r="F21" t="s">
        <v>36</v>
      </c>
      <c r="H21" t="s">
        <v>36</v>
      </c>
      <c r="I21" t="s">
        <v>36</v>
      </c>
    </row>
    <row r="22" spans="2:9" x14ac:dyDescent="0.3">
      <c r="B22">
        <v>1</v>
      </c>
      <c r="C22">
        <v>4</v>
      </c>
      <c r="D22">
        <v>8472</v>
      </c>
      <c r="E22" t="s">
        <v>33</v>
      </c>
      <c r="F22">
        <v>170</v>
      </c>
      <c r="G22">
        <v>2</v>
      </c>
      <c r="H22">
        <v>17</v>
      </c>
      <c r="I22">
        <v>357</v>
      </c>
    </row>
    <row r="23" spans="2:9" x14ac:dyDescent="0.3">
      <c r="B23">
        <v>2</v>
      </c>
      <c r="C23">
        <v>4</v>
      </c>
      <c r="D23">
        <v>8471</v>
      </c>
      <c r="E23" t="s">
        <v>32</v>
      </c>
      <c r="F23">
        <v>170</v>
      </c>
      <c r="G23">
        <v>1</v>
      </c>
      <c r="H23">
        <v>8.5</v>
      </c>
      <c r="I23">
        <v>178.5</v>
      </c>
    </row>
  </sheetData>
  <mergeCells count="1">
    <mergeCell ref="B2:I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86A61-5D14-4B20-84F2-00C69BC9A309}">
  <sheetPr codeName="Sheet5"/>
  <dimension ref="B4:H14"/>
  <sheetViews>
    <sheetView workbookViewId="0">
      <selection activeCell="B4" sqref="B4:F4"/>
    </sheetView>
  </sheetViews>
  <sheetFormatPr defaultRowHeight="14.4" x14ac:dyDescent="0.3"/>
  <cols>
    <col min="2" max="2" width="11.33203125" customWidth="1"/>
    <col min="4" max="4" width="13.44140625" customWidth="1"/>
    <col min="5" max="5" width="9.77734375" customWidth="1"/>
    <col min="6" max="6" width="9.5546875" customWidth="1"/>
  </cols>
  <sheetData>
    <row r="4" spans="2:8" x14ac:dyDescent="0.3">
      <c r="B4" s="14" t="s">
        <v>28</v>
      </c>
      <c r="C4" s="15"/>
      <c r="D4" s="15"/>
      <c r="E4" s="15"/>
      <c r="F4" s="15"/>
    </row>
    <row r="6" spans="2:8" x14ac:dyDescent="0.3">
      <c r="B6" t="s">
        <v>22</v>
      </c>
      <c r="C6" t="s">
        <v>3</v>
      </c>
      <c r="D6" t="s">
        <v>29</v>
      </c>
      <c r="E6" t="s">
        <v>30</v>
      </c>
      <c r="F6" t="s">
        <v>31</v>
      </c>
      <c r="H6" s="18" t="s">
        <v>22</v>
      </c>
    </row>
    <row r="7" spans="2:8" x14ac:dyDescent="0.3">
      <c r="B7" s="5">
        <v>8471</v>
      </c>
      <c r="C7" t="str">
        <f>IFERROR(VLOOKUP(Table3[[#This Row],[HSN Code]],Table1[#All],3,0),"")</f>
        <v>Mouse</v>
      </c>
      <c r="D7">
        <f>SUMIF(Table1[Item],Table3[[#This Row],[Item]],Table1[P Quantity])</f>
        <v>30</v>
      </c>
      <c r="E7">
        <f>SUMIF(Table2[Item],Table3[[#This Row],[Item]],Table2[Qty])</f>
        <v>52</v>
      </c>
      <c r="F7">
        <f>Table3[[#This Row],[PurchaseQty]]-Table3[[#This Row],[Sale Qty]]</f>
        <v>-22</v>
      </c>
    </row>
    <row r="8" spans="2:8" x14ac:dyDescent="0.3">
      <c r="B8" s="5">
        <v>8472</v>
      </c>
      <c r="C8" t="str">
        <f>IFERROR(VLOOKUP(Table3[[#This Row],[HSN Code]],Table1[#All],3,0),"")</f>
        <v>Key Board</v>
      </c>
      <c r="D8">
        <f>SUMIF(Table1[Item],Table3[[#This Row],[Item]],Table1[P Quantity])</f>
        <v>30</v>
      </c>
      <c r="E8">
        <f>SUMIF(Table2[Item],Table3[[#This Row],[Item]],Table2[Qty])</f>
        <v>19</v>
      </c>
      <c r="F8">
        <f>Table3[[#This Row],[PurchaseQty]]-Table3[[#This Row],[Sale Qty]]</f>
        <v>11</v>
      </c>
    </row>
    <row r="9" spans="2:8" x14ac:dyDescent="0.3">
      <c r="B9" s="5">
        <v>8473</v>
      </c>
      <c r="C9" t="str">
        <f>IFERROR(VLOOKUP(Table3[[#This Row],[HSN Code]],Table1[#All],3,0),"")</f>
        <v>Monitor</v>
      </c>
      <c r="D9">
        <f>SUMIF(Table1[Item],Table3[[#This Row],[Item]],Table1[P Quantity])</f>
        <v>30</v>
      </c>
      <c r="E9">
        <f>SUMIF(Table2[Item],Table3[[#This Row],[Item]],Table2[Qty])</f>
        <v>32</v>
      </c>
      <c r="F9">
        <f>Table3[[#This Row],[PurchaseQty]]-Table3[[#This Row],[Sale Qty]]</f>
        <v>-2</v>
      </c>
    </row>
    <row r="10" spans="2:8" x14ac:dyDescent="0.3">
      <c r="B10" s="5">
        <v>8474</v>
      </c>
      <c r="C10" t="str">
        <f>IFERROR(VLOOKUP(Table3[[#This Row],[HSN Code]],Table1[#All],3,0),"")</f>
        <v>Laptop</v>
      </c>
      <c r="D10">
        <f>SUMIF(Table1[Item],Table3[[#This Row],[Item]],Table1[P Quantity])</f>
        <v>30</v>
      </c>
      <c r="E10">
        <f>SUMIF(Table2[Item],Table3[[#This Row],[Item]],Table2[Qty])</f>
        <v>0</v>
      </c>
      <c r="F10">
        <f>Table3[[#This Row],[PurchaseQty]]-Table3[[#This Row],[Sale Qty]]</f>
        <v>30</v>
      </c>
    </row>
    <row r="11" spans="2:8" x14ac:dyDescent="0.3">
      <c r="C11" t="str">
        <f>IFERROR(VLOOKUP(Table3[[#This Row],[HSN Code]],Table1[#All],3,0),"")</f>
        <v/>
      </c>
      <c r="D11">
        <f>SUMIF(Table1[Item],Table3[[#This Row],[Item]],Table1[P Quantity])</f>
        <v>0</v>
      </c>
      <c r="E11">
        <f>SUMIF(Table2[Item],Table3[[#This Row],[Item]],Table2[Qty])</f>
        <v>0</v>
      </c>
      <c r="F11">
        <f>Table3[[#This Row],[PurchaseQty]]-Table3[[#This Row],[Sale Qty]]</f>
        <v>0</v>
      </c>
    </row>
    <row r="12" spans="2:8" x14ac:dyDescent="0.3">
      <c r="C12" t="str">
        <f>IFERROR(VLOOKUP(Table3[[#This Row],[HSN Code]],Table1[#All],3,0),"")</f>
        <v/>
      </c>
      <c r="D12">
        <f>SUMIF(Table1[Item],Table3[[#This Row],[Item]],Table1[P Quantity])</f>
        <v>0</v>
      </c>
      <c r="E12">
        <f>SUMIF(Table2[Item],Table3[[#This Row],[Item]],Table2[Qty])</f>
        <v>0</v>
      </c>
      <c r="F12">
        <f>Table3[[#This Row],[PurchaseQty]]-Table3[[#This Row],[Sale Qty]]</f>
        <v>0</v>
      </c>
    </row>
    <row r="13" spans="2:8" x14ac:dyDescent="0.3">
      <c r="C13" t="str">
        <f>IFERROR(VLOOKUP(Table3[[#This Row],[HSN Code]],Table1[#All],3,0),"")</f>
        <v/>
      </c>
      <c r="D13">
        <f>SUMIF(Table1[Item],Table3[[#This Row],[Item]],Table1[P Quantity])</f>
        <v>0</v>
      </c>
      <c r="E13">
        <f>SUMIF(Table2[Item],Table3[[#This Row],[Item]],Table2[Qty])</f>
        <v>0</v>
      </c>
      <c r="F13">
        <f>Table3[[#This Row],[PurchaseQty]]-Table3[[#This Row],[Sale Qty]]</f>
        <v>0</v>
      </c>
    </row>
    <row r="14" spans="2:8" x14ac:dyDescent="0.3">
      <c r="C14" t="str">
        <f>IFERROR(VLOOKUP(Table3[[#This Row],[HSN Code]],Table1[#All],3,0),"")</f>
        <v/>
      </c>
      <c r="D14">
        <f>SUMIF(Table1[Item],Table3[[#This Row],[Item]],Table1[P Quantity])</f>
        <v>0</v>
      </c>
      <c r="E14">
        <f>SUMIF(Table2[Item],Table3[[#This Row],[Item]],Table2[Qty])</f>
        <v>0</v>
      </c>
      <c r="F14">
        <f>Table3[[#This Row],[PurchaseQty]]-Table3[[#This Row],[Sale Qty]]</f>
        <v>0</v>
      </c>
    </row>
  </sheetData>
  <mergeCells count="1">
    <mergeCell ref="B4:F4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Invoice</vt:lpstr>
      <vt:lpstr>Sheet5</vt:lpstr>
      <vt:lpstr>Purchase</vt:lpstr>
      <vt:lpstr>Sale</vt:lpstr>
      <vt:lpstr>stock</vt:lpstr>
      <vt:lpstr>stock!Criteria</vt:lpstr>
      <vt:lpstr>stock!Extract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Bhagyasri Nayak</dc:creator>
  <cp:lastModifiedBy>Bhagyasri Nayak</cp:lastModifiedBy>
  <cp:lastPrinted>2024-07-10T14:09:38Z</cp:lastPrinted>
  <dcterms:created xsi:type="dcterms:W3CDTF">2024-07-10T09:54:56Z</dcterms:created>
  <dcterms:modified xsi:type="dcterms:W3CDTF">2024-07-10T14:10:26Z</dcterms:modified>
</cp:coreProperties>
</file>